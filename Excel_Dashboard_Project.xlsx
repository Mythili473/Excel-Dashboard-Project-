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950\Downloads\"/>
    </mc:Choice>
  </mc:AlternateContent>
  <xr:revisionPtr revIDLastSave="0" documentId="8_{8F4EB509-A40F-40AE-8178-24126A6D54B6}" xr6:coauthVersionLast="47" xr6:coauthVersionMax="47" xr10:uidLastSave="{00000000-0000-0000-0000-000000000000}"/>
  <workbookProtection workbookAlgorithmName="SHA-512" workbookHashValue="UhWLlwqSduoq3kSgwM1O4JEV2MweGbiCYEnV9IhOAuXChKzqo7mrGHZXo7PeVmT4Y3oHf35YbO1EXJfXy8N5ow==" workbookSaltValue="oFTeLVXlQSP6cjVrPMhFIQ==" workbookSpinCount="100000" lockStructure="1"/>
  <bookViews>
    <workbookView xWindow="-108" yWindow="-108" windowWidth="23256" windowHeight="12456" activeTab="3" xr2:uid="{00000000-000D-0000-FFFF-FFFF00000000}"/>
  </bookViews>
  <sheets>
    <sheet name="Raw Data" sheetId="1" r:id="rId1"/>
    <sheet name="Cleaned Data" sheetId="2" r:id="rId2"/>
    <sheet name="Pivot Analysis" sheetId="3" r:id="rId3"/>
    <sheet name="Dashboard" sheetId="4" r:id="rId4"/>
  </sheets>
  <definedNames>
    <definedName name="_xlnm._FilterDatabase" localSheetId="1" hidden="1">'Cleaned Data'!$A$1:$N$1001</definedName>
    <definedName name="_xlnm._FilterDatabase" localSheetId="0" hidden="1">'Raw Data'!$A$1:$M$1001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<sst xmlns="http://schemas.openxmlformats.org/spreadsheetml/2006/main" count="16274" uniqueCount="51">
  <si>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</si>
  <si>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</si>
  <si>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</si>
  <si>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</si>
  <si>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</si>
  <si>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</si>
  <si>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</si>
  <si>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</si>
  <si>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</si>
  <si>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</si>
  <si>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</si>
  <si>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</si>
  <si>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</si>
  <si>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</si>
  <si>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</si>
  <si>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</si>
  <si>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</si>
  <si>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</si>
  <si>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</si>
  <si>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</si>
  <si>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</si>
  <si>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</si>
  <si>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</si>
  <si>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</si>
  <si>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</si>
  <si>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</si>
  <si>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</si>
  <si>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</si>
  <si>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</si>
  <si>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</si>
  <si>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</si>
  <si>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</si>
  <si>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</si>
  <si>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</si>
  <si>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</si>
  <si>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</si>
  <si>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</si>
  <si>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</si>
  <si>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</si>
  <si>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</si>
  <si>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 xml:space="preserve">Age brackets </t>
  </si>
  <si>
    <t>Row Labels</t>
  </si>
  <si>
    <t>Grand Total</t>
  </si>
  <si>
    <t>Sum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</si>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</sst>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applyAlignment="1">
      <alignment horizontal="left" indent="1"/>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vertical="center"/>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8648293963255"/>
          <c:y val="0.26328484981044037"/>
          <c:w val="0.51739129483814528"/>
          <c:h val="0.32677967337416158"/>
        </c:manualLayout>
      </c:layout>
      <c:barChart>
        <c:barDir val="col"/>
        <c:grouping val="clustered"/>
        <c:varyColors val="0"/>
        <c:ser>
          <c:idx val="0"/>
          <c:order val="0"/>
          <c:tx>
            <c:strRef>
              <c:f>'Pivot Analysis'!$B$3:$B$4</c:f>
              <c:strCache>
                <c:ptCount val="1"/>
                <c:pt idx="0">
                  <c:v>No</c:v>
                </c:pt>
              </c:strCache>
            </c:strRef>
          </c:tx>
          <c:spPr>
            <a:solidFill>
              <a:schemeClr val="accent1"/>
            </a:solidFill>
            <a:ln>
              <a:noFill/>
            </a:ln>
            <a:effectLst/>
          </c:spPr>
          <c:invertIfNegative val="0"/>
          <c:cat>
            <c:strRef>
              <c:f>'Pivot Analysis'!$A$5:$A$7</c:f>
              <c:strCache>
                <c:ptCount val="2"/>
                <c:pt idx="0">
                  <c:v>Female</c:v>
                </c:pt>
                <c:pt idx="1">
                  <c:v>Male</c:v>
                </c:pt>
              </c:strCache>
            </c:strRef>
          </c:cat>
          <c:val>
            <c:numRef>
              <c:f>'Pivot Analysis'!$B$5:$B$7</c:f>
              <c:numCache>
                <c:formatCode>General</c:formatCode>
                <c:ptCount val="2"/>
                <c:pt idx="0">
                  <c:v>1250000</c:v>
                </c:pt>
                <c:pt idx="1">
                  <c:v>560000</c:v>
                </c:pt>
              </c:numCache>
            </c:numRef>
          </c:val>
          <c:extLst>
            <c:ext xmlns:c16="http://schemas.microsoft.com/office/drawing/2014/chart" uri="{C3380CC4-5D6E-409C-BE32-E72D297353CC}">
              <c16:uniqueId val="{00000000-3CFD-4306-B03C-F39F586DE195}"/>
            </c:ext>
          </c:extLst>
        </c:ser>
        <c:ser>
          <c:idx val="1"/>
          <c:order val="1"/>
          <c:tx>
            <c:strRef>
              <c:f>'Pivot Analysis'!$C$3:$C$4</c:f>
              <c:strCache>
                <c:ptCount val="1"/>
                <c:pt idx="0">
                  <c:v>Yes</c:v>
                </c:pt>
              </c:strCache>
            </c:strRef>
          </c:tx>
          <c:spPr>
            <a:solidFill>
              <a:schemeClr val="accent2"/>
            </a:solidFill>
            <a:ln>
              <a:noFill/>
            </a:ln>
            <a:effectLst/>
          </c:spPr>
          <c:invertIfNegative val="0"/>
          <c:cat>
            <c:strRef>
              <c:f>'Pivot Analysis'!$A$5:$A$7</c:f>
              <c:strCache>
                <c:ptCount val="2"/>
                <c:pt idx="0">
                  <c:v>Female</c:v>
                </c:pt>
                <c:pt idx="1">
                  <c:v>Male</c:v>
                </c:pt>
              </c:strCache>
            </c:strRef>
          </c:cat>
          <c:val>
            <c:numRef>
              <c:f>'Pivot Analysis'!$C$5:$C$7</c:f>
              <c:numCache>
                <c:formatCode>General</c:formatCode>
                <c:ptCount val="2"/>
                <c:pt idx="0">
                  <c:v>1970000</c:v>
                </c:pt>
                <c:pt idx="1">
                  <c:v>980000</c:v>
                </c:pt>
              </c:numCache>
            </c:numRef>
          </c:val>
          <c:extLst>
            <c:ext xmlns:c16="http://schemas.microsoft.com/office/drawing/2014/chart" uri="{C3380CC4-5D6E-409C-BE32-E72D297353CC}">
              <c16:uniqueId val="{00000001-3CFD-4306-B03C-F39F586DE195}"/>
            </c:ext>
          </c:extLst>
        </c:ser>
        <c:dLbls>
          <c:showLegendKey val="0"/>
          <c:showVal val="0"/>
          <c:showCatName val="0"/>
          <c:showSerName val="0"/>
          <c:showPercent val="0"/>
          <c:showBubbleSize val="0"/>
        </c:dLbls>
        <c:gapWidth val="219"/>
        <c:overlap val="-27"/>
        <c:axId val="595114495"/>
        <c:axId val="595113535"/>
      </c:barChart>
      <c:catAx>
        <c:axId val="59511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13535"/>
        <c:crosses val="autoZero"/>
        <c:auto val="1"/>
        <c:lblAlgn val="ctr"/>
        <c:lblOffset val="100"/>
        <c:noMultiLvlLbl val="0"/>
      </c:catAx>
      <c:valAx>
        <c:axId val="595113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1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Analysis'!$B$21:$B$22</c:f>
              <c:strCache>
                <c:ptCount val="1"/>
                <c:pt idx="0">
                  <c:v>No</c:v>
                </c:pt>
              </c:strCache>
            </c:strRef>
          </c:tx>
          <c:spPr>
            <a:ln w="28575" cap="rnd">
              <a:solidFill>
                <a:schemeClr val="accent1"/>
              </a:solidFill>
              <a:round/>
            </a:ln>
            <a:effectLst/>
          </c:spPr>
          <c:marker>
            <c:symbol val="none"/>
          </c:marker>
          <c:cat>
            <c:strRef>
              <c:f>'Pivot Analysis'!$A$23:$A$28</c:f>
              <c:strCache>
                <c:ptCount val="5"/>
                <c:pt idx="0">
                  <c:v>0-1 Miles</c:v>
                </c:pt>
                <c:pt idx="1">
                  <c:v>1-2 Miles</c:v>
                </c:pt>
                <c:pt idx="2">
                  <c:v>2-5 Miles</c:v>
                </c:pt>
                <c:pt idx="3">
                  <c:v>5-10 Miles</c:v>
                </c:pt>
                <c:pt idx="4">
                  <c:v>More than 10 miles</c:v>
                </c:pt>
              </c:strCache>
            </c:strRef>
          </c:cat>
          <c:val>
            <c:numRef>
              <c:f>'Pivot Analysis'!$B$23:$B$28</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09F8-40A3-8ABB-51E94012C98C}"/>
            </c:ext>
          </c:extLst>
        </c:ser>
        <c:ser>
          <c:idx val="1"/>
          <c:order val="1"/>
          <c:tx>
            <c:strRef>
              <c:f>'Pivot Analysis'!$C$21:$C$22</c:f>
              <c:strCache>
                <c:ptCount val="1"/>
                <c:pt idx="0">
                  <c:v>Yes</c:v>
                </c:pt>
              </c:strCache>
            </c:strRef>
          </c:tx>
          <c:spPr>
            <a:ln w="28575" cap="rnd">
              <a:solidFill>
                <a:schemeClr val="accent2"/>
              </a:solidFill>
              <a:round/>
            </a:ln>
            <a:effectLst/>
          </c:spPr>
          <c:marker>
            <c:symbol val="none"/>
          </c:marker>
          <c:cat>
            <c:strRef>
              <c:f>'Pivot Analysis'!$A$23:$A$28</c:f>
              <c:strCache>
                <c:ptCount val="5"/>
                <c:pt idx="0">
                  <c:v>0-1 Miles</c:v>
                </c:pt>
                <c:pt idx="1">
                  <c:v>1-2 Miles</c:v>
                </c:pt>
                <c:pt idx="2">
                  <c:v>2-5 Miles</c:v>
                </c:pt>
                <c:pt idx="3">
                  <c:v>5-10 Miles</c:v>
                </c:pt>
                <c:pt idx="4">
                  <c:v>More than 10 miles</c:v>
                </c:pt>
              </c:strCache>
            </c:strRef>
          </c:cat>
          <c:val>
            <c:numRef>
              <c:f>'Pivot Analysis'!$C$23:$C$28</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09F8-40A3-8ABB-51E94012C98C}"/>
            </c:ext>
          </c:extLst>
        </c:ser>
        <c:dLbls>
          <c:showLegendKey val="0"/>
          <c:showVal val="0"/>
          <c:showCatName val="0"/>
          <c:showSerName val="0"/>
          <c:showPercent val="0"/>
          <c:showBubbleSize val="0"/>
        </c:dLbls>
        <c:smooth val="0"/>
        <c:axId val="595128895"/>
        <c:axId val="595129375"/>
      </c:lineChart>
      <c:catAx>
        <c:axId val="59512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9375"/>
        <c:crosses val="autoZero"/>
        <c:auto val="1"/>
        <c:lblAlgn val="ctr"/>
        <c:lblOffset val="100"/>
        <c:noMultiLvlLbl val="0"/>
      </c:catAx>
      <c:valAx>
        <c:axId val="59512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Analysis'!$A$37:$A$40</c:f>
              <c:strCache>
                <c:ptCount val="3"/>
                <c:pt idx="0">
                  <c:v>Adolescent</c:v>
                </c:pt>
                <c:pt idx="1">
                  <c:v>Middle Age</c:v>
                </c:pt>
                <c:pt idx="2">
                  <c:v>OLD</c:v>
                </c:pt>
              </c:strCache>
            </c:strRef>
          </c:cat>
          <c:val>
            <c:numRef>
              <c:f>'Pivot Analysis'!$B$37:$B$40</c:f>
              <c:numCache>
                <c:formatCode>General</c:formatCode>
                <c:ptCount val="3"/>
                <c:pt idx="1">
                  <c:v>19</c:v>
                </c:pt>
                <c:pt idx="2">
                  <c:v>6</c:v>
                </c:pt>
              </c:numCache>
            </c:numRef>
          </c:val>
          <c:smooth val="0"/>
          <c:extLst>
            <c:ext xmlns:c16="http://schemas.microsoft.com/office/drawing/2014/chart" uri="{C3380CC4-5D6E-409C-BE32-E72D297353CC}">
              <c16:uniqueId val="{00000000-C573-4CC5-998C-D7FCF7037E14}"/>
            </c:ext>
          </c:extLst>
        </c:ser>
        <c:ser>
          <c:idx val="1"/>
          <c:order val="1"/>
          <c:tx>
            <c:strRef>
              <c:f>'Pivot Analysis'!$C$35:$C$36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Analysis'!$A$37:$A$40</c:f>
              <c:strCache>
                <c:ptCount val="3"/>
                <c:pt idx="0">
                  <c:v>Adolescent</c:v>
                </c:pt>
                <c:pt idx="1">
                  <c:v>Middle Age</c:v>
                </c:pt>
                <c:pt idx="2">
                  <c:v>OLD</c:v>
                </c:pt>
              </c:strCache>
            </c:strRef>
          </c:cat>
          <c:val>
            <c:numRef>
              <c:f>'Pivot Analysis'!$C$37:$C$40</c:f>
              <c:numCache>
                <c:formatCode>General</c:formatCode>
                <c:ptCount val="3"/>
                <c:pt idx="0">
                  <c:v>1</c:v>
                </c:pt>
                <c:pt idx="1">
                  <c:v>39</c:v>
                </c:pt>
                <c:pt idx="2">
                  <c:v>4</c:v>
                </c:pt>
              </c:numCache>
            </c:numRef>
          </c:val>
          <c:smooth val="0"/>
          <c:extLst>
            <c:ext xmlns:c16="http://schemas.microsoft.com/office/drawing/2014/chart" uri="{C3380CC4-5D6E-409C-BE32-E72D297353CC}">
              <c16:uniqueId val="{00000001-C573-4CC5-998C-D7FCF7037E14}"/>
            </c:ext>
          </c:extLst>
        </c:ser>
        <c:dLbls>
          <c:showLegendKey val="0"/>
          <c:showVal val="0"/>
          <c:showCatName val="0"/>
          <c:showSerName val="0"/>
          <c:showPercent val="0"/>
          <c:showBubbleSize val="0"/>
        </c:dLbls>
        <c:marker val="1"/>
        <c:smooth val="0"/>
        <c:axId val="595089055"/>
        <c:axId val="595087135"/>
      </c:lineChart>
      <c:catAx>
        <c:axId val="59508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87135"/>
        <c:crosses val="autoZero"/>
        <c:auto val="1"/>
        <c:lblAlgn val="ctr"/>
        <c:lblOffset val="100"/>
        <c:noMultiLvlLbl val="0"/>
      </c:catAx>
      <c:valAx>
        <c:axId val="59508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8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Analysis'!$A$55:$A$79</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Analysis'!$B$55:$B$79</c:f>
              <c:numCache>
                <c:formatCode>General</c:formatCode>
                <c:ptCount val="24"/>
                <c:pt idx="1">
                  <c:v>1</c:v>
                </c:pt>
                <c:pt idx="2">
                  <c:v>1</c:v>
                </c:pt>
                <c:pt idx="3">
                  <c:v>1</c:v>
                </c:pt>
                <c:pt idx="4">
                  <c:v>1</c:v>
                </c:pt>
                <c:pt idx="7">
                  <c:v>1</c:v>
                </c:pt>
                <c:pt idx="8">
                  <c:v>3</c:v>
                </c:pt>
                <c:pt idx="10">
                  <c:v>1</c:v>
                </c:pt>
                <c:pt idx="12">
                  <c:v>5</c:v>
                </c:pt>
                <c:pt idx="13">
                  <c:v>2</c:v>
                </c:pt>
                <c:pt idx="14">
                  <c:v>1</c:v>
                </c:pt>
                <c:pt idx="15">
                  <c:v>1</c:v>
                </c:pt>
                <c:pt idx="16">
                  <c:v>1</c:v>
                </c:pt>
                <c:pt idx="18">
                  <c:v>1</c:v>
                </c:pt>
                <c:pt idx="19">
                  <c:v>2</c:v>
                </c:pt>
                <c:pt idx="20">
                  <c:v>1</c:v>
                </c:pt>
                <c:pt idx="21">
                  <c:v>1</c:v>
                </c:pt>
                <c:pt idx="22">
                  <c:v>1</c:v>
                </c:pt>
              </c:numCache>
            </c:numRef>
          </c:val>
          <c:smooth val="0"/>
          <c:extLst>
            <c:ext xmlns:c16="http://schemas.microsoft.com/office/drawing/2014/chart" uri="{C3380CC4-5D6E-409C-BE32-E72D297353CC}">
              <c16:uniqueId val="{00000000-F5CE-4021-A273-A1BDC183A1FC}"/>
            </c:ext>
          </c:extLst>
        </c:ser>
        <c:ser>
          <c:idx val="1"/>
          <c:order val="1"/>
          <c:tx>
            <c:strRef>
              <c:f>'Pivot Analysis'!$C$53:$C$54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Analysis'!$A$55:$A$79</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Analysis'!$C$55:$C$79</c:f>
              <c:numCache>
                <c:formatCode>General</c:formatCode>
                <c:ptCount val="24"/>
                <c:pt idx="0">
                  <c:v>1</c:v>
                </c:pt>
                <c:pt idx="1">
                  <c:v>2</c:v>
                </c:pt>
                <c:pt idx="2">
                  <c:v>1</c:v>
                </c:pt>
                <c:pt idx="3">
                  <c:v>4</c:v>
                </c:pt>
                <c:pt idx="4">
                  <c:v>8</c:v>
                </c:pt>
                <c:pt idx="5">
                  <c:v>5</c:v>
                </c:pt>
                <c:pt idx="6">
                  <c:v>4</c:v>
                </c:pt>
                <c:pt idx="7">
                  <c:v>1</c:v>
                </c:pt>
                <c:pt idx="8">
                  <c:v>1</c:v>
                </c:pt>
                <c:pt idx="9">
                  <c:v>1</c:v>
                </c:pt>
                <c:pt idx="10">
                  <c:v>1</c:v>
                </c:pt>
                <c:pt idx="11">
                  <c:v>2</c:v>
                </c:pt>
                <c:pt idx="12">
                  <c:v>4</c:v>
                </c:pt>
                <c:pt idx="13">
                  <c:v>1</c:v>
                </c:pt>
                <c:pt idx="15">
                  <c:v>1</c:v>
                </c:pt>
                <c:pt idx="16">
                  <c:v>3</c:v>
                </c:pt>
                <c:pt idx="17">
                  <c:v>1</c:v>
                </c:pt>
                <c:pt idx="20">
                  <c:v>1</c:v>
                </c:pt>
                <c:pt idx="22">
                  <c:v>1</c:v>
                </c:pt>
                <c:pt idx="23">
                  <c:v>1</c:v>
                </c:pt>
              </c:numCache>
            </c:numRef>
          </c:val>
          <c:smooth val="0"/>
          <c:extLst>
            <c:ext xmlns:c16="http://schemas.microsoft.com/office/drawing/2014/chart" uri="{C3380CC4-5D6E-409C-BE32-E72D297353CC}">
              <c16:uniqueId val="{00000001-F5CE-4021-A273-A1BDC183A1FC}"/>
            </c:ext>
          </c:extLst>
        </c:ser>
        <c:dLbls>
          <c:showLegendKey val="0"/>
          <c:showVal val="0"/>
          <c:showCatName val="0"/>
          <c:showSerName val="0"/>
          <c:showPercent val="0"/>
          <c:showBubbleSize val="0"/>
        </c:dLbls>
        <c:marker val="1"/>
        <c:smooth val="0"/>
        <c:axId val="595102015"/>
        <c:axId val="595103455"/>
      </c:lineChart>
      <c:catAx>
        <c:axId val="59510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03455"/>
        <c:crosses val="autoZero"/>
        <c:auto val="1"/>
        <c:lblAlgn val="ctr"/>
        <c:lblOffset val="100"/>
        <c:noMultiLvlLbl val="0"/>
      </c:catAx>
      <c:valAx>
        <c:axId val="59510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0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8648293963255"/>
          <c:y val="0.26328484981044037"/>
          <c:w val="0.51739129483814528"/>
          <c:h val="0.32677967337416158"/>
        </c:manualLayout>
      </c:layout>
      <c:barChart>
        <c:barDir val="col"/>
        <c:grouping val="clustered"/>
        <c:varyColors val="0"/>
        <c:ser>
          <c:idx val="0"/>
          <c:order val="0"/>
          <c:tx>
            <c:strRef>
              <c:f>'Pivot Analysis'!$B$3:$B$4</c:f>
              <c:strCache>
                <c:ptCount val="1"/>
                <c:pt idx="0">
                  <c:v>No</c:v>
                </c:pt>
              </c:strCache>
            </c:strRef>
          </c:tx>
          <c:spPr>
            <a:solidFill>
              <a:schemeClr val="accent1"/>
            </a:solidFill>
            <a:ln>
              <a:noFill/>
            </a:ln>
            <a:effectLst/>
          </c:spPr>
          <c:invertIfNegative val="0"/>
          <c:cat>
            <c:strRef>
              <c:f>'Pivot Analysis'!$A$5:$A$7</c:f>
              <c:strCache>
                <c:ptCount val="2"/>
                <c:pt idx="0">
                  <c:v>Female</c:v>
                </c:pt>
                <c:pt idx="1">
                  <c:v>Male</c:v>
                </c:pt>
              </c:strCache>
            </c:strRef>
          </c:cat>
          <c:val>
            <c:numRef>
              <c:f>'Pivot Analysis'!$B$5:$B$7</c:f>
              <c:numCache>
                <c:formatCode>General</c:formatCode>
                <c:ptCount val="2"/>
                <c:pt idx="0">
                  <c:v>1250000</c:v>
                </c:pt>
                <c:pt idx="1">
                  <c:v>560000</c:v>
                </c:pt>
              </c:numCache>
            </c:numRef>
          </c:val>
          <c:extLst>
            <c:ext xmlns:c16="http://schemas.microsoft.com/office/drawing/2014/chart" uri="{C3380CC4-5D6E-409C-BE32-E72D297353CC}">
              <c16:uniqueId val="{00000000-8952-4B32-A549-C2A3AEC0E991}"/>
            </c:ext>
          </c:extLst>
        </c:ser>
        <c:ser>
          <c:idx val="1"/>
          <c:order val="1"/>
          <c:tx>
            <c:strRef>
              <c:f>'Pivot Analysis'!$C$3:$C$4</c:f>
              <c:strCache>
                <c:ptCount val="1"/>
                <c:pt idx="0">
                  <c:v>Yes</c:v>
                </c:pt>
              </c:strCache>
            </c:strRef>
          </c:tx>
          <c:spPr>
            <a:solidFill>
              <a:schemeClr val="accent2"/>
            </a:solidFill>
            <a:ln>
              <a:noFill/>
            </a:ln>
            <a:effectLst/>
          </c:spPr>
          <c:invertIfNegative val="0"/>
          <c:cat>
            <c:strRef>
              <c:f>'Pivot Analysis'!$A$5:$A$7</c:f>
              <c:strCache>
                <c:ptCount val="2"/>
                <c:pt idx="0">
                  <c:v>Female</c:v>
                </c:pt>
                <c:pt idx="1">
                  <c:v>Male</c:v>
                </c:pt>
              </c:strCache>
            </c:strRef>
          </c:cat>
          <c:val>
            <c:numRef>
              <c:f>'Pivot Analysis'!$C$5:$C$7</c:f>
              <c:numCache>
                <c:formatCode>General</c:formatCode>
                <c:ptCount val="2"/>
                <c:pt idx="0">
                  <c:v>1970000</c:v>
                </c:pt>
                <c:pt idx="1">
                  <c:v>980000</c:v>
                </c:pt>
              </c:numCache>
            </c:numRef>
          </c:val>
          <c:extLst>
            <c:ext xmlns:c16="http://schemas.microsoft.com/office/drawing/2014/chart" uri="{C3380CC4-5D6E-409C-BE32-E72D297353CC}">
              <c16:uniqueId val="{00000001-8952-4B32-A549-C2A3AEC0E991}"/>
            </c:ext>
          </c:extLst>
        </c:ser>
        <c:dLbls>
          <c:showLegendKey val="0"/>
          <c:showVal val="0"/>
          <c:showCatName val="0"/>
          <c:showSerName val="0"/>
          <c:showPercent val="0"/>
          <c:showBubbleSize val="0"/>
        </c:dLbls>
        <c:gapWidth val="219"/>
        <c:overlap val="-27"/>
        <c:axId val="595114495"/>
        <c:axId val="595113535"/>
      </c:barChart>
      <c:catAx>
        <c:axId val="59511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13535"/>
        <c:crosses val="autoZero"/>
        <c:auto val="1"/>
        <c:lblAlgn val="ctr"/>
        <c:lblOffset val="100"/>
        <c:noMultiLvlLbl val="0"/>
      </c:catAx>
      <c:valAx>
        <c:axId val="595113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1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Analysis'!$A$23:$A$28</c:f>
              <c:strCache>
                <c:ptCount val="5"/>
                <c:pt idx="0">
                  <c:v>0-1 Miles</c:v>
                </c:pt>
                <c:pt idx="1">
                  <c:v>1-2 Miles</c:v>
                </c:pt>
                <c:pt idx="2">
                  <c:v>2-5 Miles</c:v>
                </c:pt>
                <c:pt idx="3">
                  <c:v>5-10 Miles</c:v>
                </c:pt>
                <c:pt idx="4">
                  <c:v>More than 10 miles</c:v>
                </c:pt>
              </c:strCache>
            </c:strRef>
          </c:cat>
          <c:val>
            <c:numRef>
              <c:f>'Pivot Analysis'!$B$23:$B$28</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840F-4072-8AA6-0D090A70F6EF}"/>
            </c:ext>
          </c:extLst>
        </c:ser>
        <c:ser>
          <c:idx val="1"/>
          <c:order val="1"/>
          <c:tx>
            <c:strRef>
              <c:f>'Pivot Analysis'!$C$21:$C$22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Analysis'!$A$23:$A$28</c:f>
              <c:strCache>
                <c:ptCount val="5"/>
                <c:pt idx="0">
                  <c:v>0-1 Miles</c:v>
                </c:pt>
                <c:pt idx="1">
                  <c:v>1-2 Miles</c:v>
                </c:pt>
                <c:pt idx="2">
                  <c:v>2-5 Miles</c:v>
                </c:pt>
                <c:pt idx="3">
                  <c:v>5-10 Miles</c:v>
                </c:pt>
                <c:pt idx="4">
                  <c:v>More than 10 miles</c:v>
                </c:pt>
              </c:strCache>
            </c:strRef>
          </c:cat>
          <c:val>
            <c:numRef>
              <c:f>'Pivot Analysis'!$C$23:$C$28</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840F-4072-8AA6-0D090A70F6EF}"/>
            </c:ext>
          </c:extLst>
        </c:ser>
        <c:dLbls>
          <c:showLegendKey val="0"/>
          <c:showVal val="0"/>
          <c:showCatName val="0"/>
          <c:showSerName val="0"/>
          <c:showPercent val="0"/>
          <c:showBubbleSize val="0"/>
        </c:dLbls>
        <c:marker val="1"/>
        <c:smooth val="0"/>
        <c:axId val="595128895"/>
        <c:axId val="595129375"/>
      </c:lineChart>
      <c:catAx>
        <c:axId val="5951288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5129375"/>
        <c:crosses val="autoZero"/>
        <c:auto val="1"/>
        <c:lblAlgn val="ctr"/>
        <c:lblOffset val="100"/>
        <c:noMultiLvlLbl val="0"/>
      </c:catAx>
      <c:valAx>
        <c:axId val="5951293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512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Analysis'!$A$37:$A$40</c:f>
              <c:strCache>
                <c:ptCount val="3"/>
                <c:pt idx="0">
                  <c:v>Adolescent</c:v>
                </c:pt>
                <c:pt idx="1">
                  <c:v>Middle Age</c:v>
                </c:pt>
                <c:pt idx="2">
                  <c:v>OLD</c:v>
                </c:pt>
              </c:strCache>
            </c:strRef>
          </c:cat>
          <c:val>
            <c:numRef>
              <c:f>'Pivot Analysis'!$B$37:$B$40</c:f>
              <c:numCache>
                <c:formatCode>General</c:formatCode>
                <c:ptCount val="3"/>
                <c:pt idx="1">
                  <c:v>19</c:v>
                </c:pt>
                <c:pt idx="2">
                  <c:v>6</c:v>
                </c:pt>
              </c:numCache>
            </c:numRef>
          </c:val>
          <c:smooth val="0"/>
          <c:extLst>
            <c:ext xmlns:c16="http://schemas.microsoft.com/office/drawing/2014/chart" uri="{C3380CC4-5D6E-409C-BE32-E72D297353CC}">
              <c16:uniqueId val="{00000000-3927-45F8-834A-0D6BA2D47BF8}"/>
            </c:ext>
          </c:extLst>
        </c:ser>
        <c:ser>
          <c:idx val="1"/>
          <c:order val="1"/>
          <c:tx>
            <c:strRef>
              <c:f>'Pivot Analysis'!$C$35:$C$36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Analysis'!$A$37:$A$40</c:f>
              <c:strCache>
                <c:ptCount val="3"/>
                <c:pt idx="0">
                  <c:v>Adolescent</c:v>
                </c:pt>
                <c:pt idx="1">
                  <c:v>Middle Age</c:v>
                </c:pt>
                <c:pt idx="2">
                  <c:v>OLD</c:v>
                </c:pt>
              </c:strCache>
            </c:strRef>
          </c:cat>
          <c:val>
            <c:numRef>
              <c:f>'Pivot Analysis'!$C$37:$C$40</c:f>
              <c:numCache>
                <c:formatCode>General</c:formatCode>
                <c:ptCount val="3"/>
                <c:pt idx="0">
                  <c:v>1</c:v>
                </c:pt>
                <c:pt idx="1">
                  <c:v>39</c:v>
                </c:pt>
                <c:pt idx="2">
                  <c:v>4</c:v>
                </c:pt>
              </c:numCache>
            </c:numRef>
          </c:val>
          <c:smooth val="0"/>
          <c:extLst>
            <c:ext xmlns:c16="http://schemas.microsoft.com/office/drawing/2014/chart" uri="{C3380CC4-5D6E-409C-BE32-E72D297353CC}">
              <c16:uniqueId val="{00000001-3927-45F8-834A-0D6BA2D47BF8}"/>
            </c:ext>
          </c:extLst>
        </c:ser>
        <c:dLbls>
          <c:showLegendKey val="0"/>
          <c:showVal val="0"/>
          <c:showCatName val="0"/>
          <c:showSerName val="0"/>
          <c:showPercent val="0"/>
          <c:showBubbleSize val="0"/>
        </c:dLbls>
        <c:marker val="1"/>
        <c:smooth val="0"/>
        <c:axId val="595089055"/>
        <c:axId val="595087135"/>
      </c:lineChart>
      <c:catAx>
        <c:axId val="59508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87135"/>
        <c:crosses val="autoZero"/>
        <c:auto val="1"/>
        <c:lblAlgn val="ctr"/>
        <c:lblOffset val="100"/>
        <c:noMultiLvlLbl val="0"/>
      </c:catAx>
      <c:valAx>
        <c:axId val="59508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8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41910</xdr:colOff>
      <xdr:row>0</xdr:row>
      <xdr:rowOff>49530</xdr:rowOff>
    </xdr:from>
    <xdr:to>
      <xdr:col>11</xdr:col>
      <xdr:colOff>346710</xdr:colOff>
      <xdr:row>15</xdr:row>
      <xdr:rowOff>49530</xdr:rowOff>
    </xdr:to>
    <xdr:graphicFrame macro="">
      <xdr:nvGraphicFramePr>
        <xdr:cNvPr id="2" name="Chart 1">
          <a:extLst>
            <a:ext uri="{FF2B5EF4-FFF2-40B4-BE49-F238E27FC236}">
              <a16:creationId xmlns:a16="http://schemas.microsoft.com/office/drawing/2014/main" id="{FBB32C5A-75F1-C672-4A6A-9D40853F7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17</xdr:row>
      <xdr:rowOff>118110</xdr:rowOff>
    </xdr:from>
    <xdr:to>
      <xdr:col>11</xdr:col>
      <xdr:colOff>361950</xdr:colOff>
      <xdr:row>32</xdr:row>
      <xdr:rowOff>118110</xdr:rowOff>
    </xdr:to>
    <xdr:graphicFrame macro="">
      <xdr:nvGraphicFramePr>
        <xdr:cNvPr id="3" name="Chart 2">
          <a:extLst>
            <a:ext uri="{FF2B5EF4-FFF2-40B4-BE49-F238E27FC236}">
              <a16:creationId xmlns:a16="http://schemas.microsoft.com/office/drawing/2014/main" id="{C9AAB6C5-02D1-01EF-DADB-D912752A1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87630</xdr:colOff>
      <xdr:row>33</xdr:row>
      <xdr:rowOff>156210</xdr:rowOff>
    </xdr:from>
    <xdr:to>
      <xdr:col>11</xdr:col>
      <xdr:colOff>392430</xdr:colOff>
      <xdr:row>48</xdr:row>
      <xdr:rowOff>156210</xdr:rowOff>
    </xdr:to>
    <xdr:graphicFrame macro="">
      <xdr:nvGraphicFramePr>
        <xdr:cNvPr id="4" name="Chart 3">
          <a:extLst>
            <a:ext uri="{FF2B5EF4-FFF2-40B4-BE49-F238E27FC236}">
              <a16:creationId xmlns:a16="http://schemas.microsoft.com/office/drawing/2014/main" id="{CBDF7101-72F6-0999-AFB7-CE2064578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41910</xdr:colOff>
      <xdr:row>53</xdr:row>
      <xdr:rowOff>179070</xdr:rowOff>
    </xdr:from>
    <xdr:to>
      <xdr:col>12</xdr:col>
      <xdr:colOff>346710</xdr:colOff>
      <xdr:row>68</xdr:row>
      <xdr:rowOff>179070</xdr:rowOff>
    </xdr:to>
    <xdr:graphicFrame macro="">
      <xdr:nvGraphicFramePr>
        <xdr:cNvPr id="5" name="Chart 4">
          <a:extLst>
            <a:ext uri="{FF2B5EF4-FFF2-40B4-BE49-F238E27FC236}">
              <a16:creationId xmlns:a16="http://schemas.microsoft.com/office/drawing/2014/main" id="{8D5C0187-C171-4180-54B3-3D3F5D8B7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463827</xdr:colOff>
      <xdr:row>6</xdr:row>
      <xdr:rowOff>33130</xdr:rowOff>
    </xdr:from>
    <xdr:to>
      <xdr:col>11</xdr:col>
      <xdr:colOff>563470</xdr:colOff>
      <xdr:row>21</xdr:row>
      <xdr:rowOff>17638</xdr:rowOff>
    </xdr:to>
    <xdr:graphicFrame macro="">
      <xdr:nvGraphicFramePr>
        <xdr:cNvPr id="2" name="Chart 1">
          <a:extLst>
            <a:ext uri="{FF2B5EF4-FFF2-40B4-BE49-F238E27FC236}">
              <a16:creationId xmlns:a16="http://schemas.microsoft.com/office/drawing/2014/main" id="{5766E4A7-44AF-485F-8BB4-D392CBAFE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452783</xdr:colOff>
      <xdr:row>21</xdr:row>
      <xdr:rowOff>154608</xdr:rowOff>
    </xdr:from>
    <xdr:to>
      <xdr:col>21</xdr:col>
      <xdr:colOff>1</xdr:colOff>
      <xdr:row>38</xdr:row>
      <xdr:rowOff>33130</xdr:rowOff>
    </xdr:to>
    <xdr:graphicFrame macro="">
      <xdr:nvGraphicFramePr>
        <xdr:cNvPr id="3" name="Chart 2">
          <a:extLst>
            <a:ext uri="{FF2B5EF4-FFF2-40B4-BE49-F238E27FC236}">
              <a16:creationId xmlns:a16="http://schemas.microsoft.com/office/drawing/2014/main" id="{5F3E0934-E0E5-4EF9-B7EF-ACE555AC0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143566</xdr:colOff>
      <xdr:row>6</xdr:row>
      <xdr:rowOff>99390</xdr:rowOff>
    </xdr:from>
    <xdr:to>
      <xdr:col>21</xdr:col>
      <xdr:colOff>1</xdr:colOff>
      <xdr:row>21</xdr:row>
      <xdr:rowOff>11042</xdr:rowOff>
    </xdr:to>
    <xdr:graphicFrame macro="">
      <xdr:nvGraphicFramePr>
        <xdr:cNvPr id="4" name="Chart 3">
          <a:extLst>
            <a:ext uri="{FF2B5EF4-FFF2-40B4-BE49-F238E27FC236}">
              <a16:creationId xmlns:a16="http://schemas.microsoft.com/office/drawing/2014/main" id="{401916A2-1043-4055-AA80-527388E10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110435</xdr:colOff>
      <xdr:row>6</xdr:row>
      <xdr:rowOff>44175</xdr:rowOff>
    </xdr:from>
    <xdr:to>
      <xdr:col>3</xdr:col>
      <xdr:colOff>287131</xdr:colOff>
      <xdr:row>11</xdr:row>
      <xdr:rowOff>44176</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C5445AFA-D6AB-9DD5-3602-6BCA4CC6D14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0435" y="1170610"/>
              <a:ext cx="1998870" cy="938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123577</xdr:colOff>
      <xdr:row>19</xdr:row>
      <xdr:rowOff>121479</xdr:rowOff>
    </xdr:from>
    <xdr:to>
      <xdr:col>3</xdr:col>
      <xdr:colOff>309217</xdr:colOff>
      <xdr:row>28</xdr:row>
      <xdr:rowOff>143565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8C0059D8-1D05-3478-CFAA-88779F29AF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3577" y="3688522"/>
              <a:ext cx="2007814" cy="1711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121478</xdr:colOff>
      <xdr:row>12</xdr:row>
      <xdr:rowOff>66260</xdr:rowOff>
    </xdr:from>
    <xdr:to>
      <xdr:col>3</xdr:col>
      <xdr:colOff>298173</xdr:colOff>
      <xdr:row>19</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F0DF468-2EEF-AA23-0E5E-A77BBEF568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478" y="2319130"/>
              <a:ext cx="1998869" cy="1247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50" refreshedDate="46018.73052164352" createdVersion="8" refreshedVersion="8" minRefreshableVersion="3" recordCount="1000" xr:uid="{65DCEDBA-0B4B-4FE7-8974-32FECC88D9B8}">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13979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50FFF-8E26-49D3-A46F-F0F5D4FF3D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7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5"/>
    </i>
    <i>
      <x v="8"/>
    </i>
    <i>
      <x v="9"/>
    </i>
    <i>
      <x v="10"/>
    </i>
    <i>
      <x v="11"/>
    </i>
    <i>
      <x v="12"/>
    </i>
    <i>
      <x v="13"/>
    </i>
    <i>
      <x v="14"/>
    </i>
    <i>
      <x v="15"/>
    </i>
    <i>
      <x v="18"/>
    </i>
    <i>
      <x v="19"/>
    </i>
    <i>
      <x v="21"/>
    </i>
    <i>
      <x v="22"/>
    </i>
    <i>
      <x v="23"/>
    </i>
    <i>
      <x v="25"/>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2CE00-98C0-4500-8668-36499794A6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E1E58A-5747-4430-8BD5-D6C891DC0D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B4CDC-DDE8-4179-90AF-1C7F25F6C0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65"/>
  </dataFields>
  <formats count="4">
    <format dxfId="3">
      <pivotArea collapsedLevelsAreSubtotals="1" fieldPosition="0">
        <references count="2">
          <reference field="2" count="1">
            <x v="0"/>
          </reference>
          <reference field="13" count="1" selected="0">
            <x v="0"/>
          </reference>
        </references>
      </pivotArea>
    </format>
    <format dxfId="2">
      <pivotArea collapsedLevelsAreSubtotals="1" fieldPosition="0">
        <references count="2">
          <reference field="2" count="1">
            <x v="1"/>
          </reference>
          <reference field="13" count="1" selected="0">
            <x v="0"/>
          </reference>
        </references>
      </pivotArea>
    </format>
    <format dxfId="1">
      <pivotArea collapsedLevelsAreSubtotals="1" fieldPosition="0">
        <references count="2">
          <reference field="2" count="0"/>
          <reference field="13" count="1" selected="0">
            <x v="1"/>
          </reference>
        </references>
      </pivotArea>
    </format>
    <format dxfId="0">
      <pivotArea field="2" grandCol="1" collapsedLevelsAreSubtotals="1" axis="axisRow" fieldPosition="0">
        <references count="1">
          <reference field="2" count="0"/>
        </references>
      </pivotArea>
    </format>
  </formats>
  <chartFormats count="4">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3" format="4" series="1">
      <pivotArea type="data" outline="0" fieldPosition="0">
        <references count="2">
          <reference field="4294967294" count="1" selected="0">
            <x v="0"/>
          </reference>
          <reference field="13" count="1" selected="0">
            <x v="0"/>
          </reference>
        </references>
      </pivotArea>
    </chartFormat>
    <chartFormat chart="2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9C7E606-BCFC-472A-80F1-503F2907CFC5}" sourceName="Marital Status">
  <pivotTables>
    <pivotTable tabId="3" name="PivotTable2"/>
    <pivotTable tabId="3" name="PivotTable1"/>
    <pivotTable tabId="3" name="PivotTable3"/>
    <pivotTable tabId="3" name="PivotTable4"/>
  </pivotTables>
  <data>
    <tabular pivotCacheId="81397910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0761438-37E1-4C87-B051-17626EA42199}" sourceName="Education">
  <pivotTables>
    <pivotTable tabId="3" name="PivotTable3"/>
    <pivotTable tabId="3" name="PivotTable1"/>
    <pivotTable tabId="3" name="PivotTable2"/>
    <pivotTable tabId="3" name="PivotTable4"/>
  </pivotTables>
  <data>
    <tabular pivotCacheId="81397910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20D9F6-1EAC-45B9-B852-DD448F567FA4}" sourceName="Region">
  <pivotTables>
    <pivotTable tabId="3" name="PivotTable3"/>
    <pivotTable tabId="3" name="PivotTable1"/>
    <pivotTable tabId="3" name="PivotTable2"/>
    <pivotTable tabId="3" name="PivotTable4"/>
  </pivotTables>
  <data>
    <tabular pivotCacheId="8139791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56BAA2D-2E31-45F1-BCB7-AFE1E2CD7984}" cache="Slicer_Marital_Status" caption="Marital Status" rowHeight="234950"/>
  <slicer name="Education" xr10:uid="{FA95A5CB-BB59-4C51-BF95-D992356DF1F9}" cache="Slicer_Education" caption="Education" rowHeight="234950"/>
  <slicer name="Region" xr10:uid="{8724E4D9-FAE1-4BD3-AAA8-9274B97D1BD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4" sqref="O1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sheetProtection sheet="1" objects="1" scenarios="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CD8D-0876-4858-8AEC-272FF45E3E76}">
  <dimension ref="A1:N1001"/>
  <sheetViews>
    <sheetView workbookViewId="0">
      <selection activeCell="I989" sqref="I989"/>
    </sheetView>
  </sheetViews>
  <sheetFormatPr defaultRowHeight="14.4" x14ac:dyDescent="0.3"/>
  <cols>
    <col min="1" max="1" width="12" customWidth="1"/>
    <col min="2" max="2" width="10.33203125" customWidth="1"/>
    <col min="3" max="3" width="11.6640625" customWidth="1"/>
    <col min="4" max="4" width="14.77734375" style="3" customWidth="1"/>
    <col min="5" max="5" width="11" customWidth="1"/>
    <col min="6" max="6" width="11.6640625" customWidth="1"/>
    <col min="7" max="7" width="12.44140625" customWidth="1"/>
    <col min="8" max="8" width="13.5546875" customWidth="1"/>
    <col min="10" max="10" width="11.5546875" customWidth="1"/>
    <col min="13" max="13" width="12.44140625" customWidth="1"/>
    <col min="14" max="14" width="16.21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 "Middle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 "Middle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 "Middle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 "Middle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 "Middle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 "Middle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 "Middle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 "Middle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 "Middle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 "Middle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 "Middle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 "Middle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 "Middle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 "Middle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 "Middle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 "Middle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 "Middle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sheetProtection sheet="1" objects="1" scenarios="1"/>
  <autoFilter ref="A1:N1001" xr:uid="{42D9CD8D-0876-4858-8AEC-272FF45E3E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9A60-2725-44B1-B459-9F3FE2DB2520}">
  <dimension ref="A3:D79"/>
  <sheetViews>
    <sheetView topLeftCell="A57" workbookViewId="0">
      <selection activeCell="C55" sqref="C55"/>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v>1250000</v>
      </c>
      <c r="C5">
        <v>1970000</v>
      </c>
      <c r="D5">
        <v>3220000</v>
      </c>
    </row>
    <row r="6" spans="1:4" x14ac:dyDescent="0.3">
      <c r="A6" s="5" t="s">
        <v>38</v>
      </c>
      <c r="B6">
        <v>560000</v>
      </c>
      <c r="C6">
        <v>980000</v>
      </c>
      <c r="D6">
        <v>1540000</v>
      </c>
    </row>
    <row r="7" spans="1:4" x14ac:dyDescent="0.3">
      <c r="A7" s="5" t="s">
        <v>42</v>
      </c>
      <c r="B7" s="6">
        <v>1810000</v>
      </c>
      <c r="C7" s="6">
        <v>2950000</v>
      </c>
      <c r="D7" s="6">
        <v>4760000</v>
      </c>
    </row>
    <row r="21" spans="1:4" x14ac:dyDescent="0.3">
      <c r="A21" s="4" t="s">
        <v>45</v>
      </c>
      <c r="B21" s="4" t="s">
        <v>44</v>
      </c>
    </row>
    <row r="22" spans="1:4" x14ac:dyDescent="0.3">
      <c r="A22" s="4" t="s">
        <v>41</v>
      </c>
      <c r="B22" t="s">
        <v>18</v>
      </c>
      <c r="C22" t="s">
        <v>15</v>
      </c>
      <c r="D22" t="s">
        <v>42</v>
      </c>
    </row>
    <row r="23" spans="1:4" x14ac:dyDescent="0.3">
      <c r="A23" s="5" t="s">
        <v>16</v>
      </c>
      <c r="B23">
        <v>11</v>
      </c>
      <c r="C23">
        <v>22</v>
      </c>
      <c r="D23">
        <v>33</v>
      </c>
    </row>
    <row r="24" spans="1:4" x14ac:dyDescent="0.3">
      <c r="A24" s="5" t="s">
        <v>26</v>
      </c>
      <c r="B24">
        <v>8</v>
      </c>
      <c r="C24">
        <v>5</v>
      </c>
      <c r="D24">
        <v>13</v>
      </c>
    </row>
    <row r="25" spans="1:4" x14ac:dyDescent="0.3">
      <c r="A25" s="5" t="s">
        <v>22</v>
      </c>
      <c r="B25">
        <v>1</v>
      </c>
      <c r="C25">
        <v>10</v>
      </c>
      <c r="D25">
        <v>11</v>
      </c>
    </row>
    <row r="26" spans="1:4" x14ac:dyDescent="0.3">
      <c r="A26" s="5" t="s">
        <v>23</v>
      </c>
      <c r="B26">
        <v>3</v>
      </c>
      <c r="C26">
        <v>4</v>
      </c>
      <c r="D26">
        <v>7</v>
      </c>
    </row>
    <row r="27" spans="1:4" x14ac:dyDescent="0.3">
      <c r="A27" s="5" t="s">
        <v>46</v>
      </c>
      <c r="B27">
        <v>2</v>
      </c>
      <c r="C27">
        <v>3</v>
      </c>
      <c r="D27">
        <v>5</v>
      </c>
    </row>
    <row r="28" spans="1:4" x14ac:dyDescent="0.3">
      <c r="A28" s="5" t="s">
        <v>42</v>
      </c>
      <c r="B28">
        <v>25</v>
      </c>
      <c r="C28">
        <v>44</v>
      </c>
      <c r="D28">
        <v>69</v>
      </c>
    </row>
    <row r="35" spans="1:4" x14ac:dyDescent="0.3">
      <c r="A35" s="4" t="s">
        <v>45</v>
      </c>
      <c r="B35" s="4" t="s">
        <v>44</v>
      </c>
    </row>
    <row r="36" spans="1:4" x14ac:dyDescent="0.3">
      <c r="A36" s="4" t="s">
        <v>41</v>
      </c>
      <c r="B36" t="s">
        <v>18</v>
      </c>
      <c r="C36" t="s">
        <v>15</v>
      </c>
      <c r="D36" t="s">
        <v>42</v>
      </c>
    </row>
    <row r="37" spans="1:4" x14ac:dyDescent="0.3">
      <c r="A37" s="5" t="s">
        <v>47</v>
      </c>
      <c r="C37">
        <v>1</v>
      </c>
      <c r="D37">
        <v>1</v>
      </c>
    </row>
    <row r="38" spans="1:4" x14ac:dyDescent="0.3">
      <c r="A38" s="5" t="s">
        <v>48</v>
      </c>
      <c r="B38">
        <v>19</v>
      </c>
      <c r="C38">
        <v>39</v>
      </c>
      <c r="D38">
        <v>58</v>
      </c>
    </row>
    <row r="39" spans="1:4" x14ac:dyDescent="0.3">
      <c r="A39" s="5" t="s">
        <v>49</v>
      </c>
      <c r="B39">
        <v>6</v>
      </c>
      <c r="C39">
        <v>4</v>
      </c>
      <c r="D39">
        <v>10</v>
      </c>
    </row>
    <row r="40" spans="1:4" x14ac:dyDescent="0.3">
      <c r="A40" s="5" t="s">
        <v>42</v>
      </c>
      <c r="B40">
        <v>25</v>
      </c>
      <c r="C40">
        <v>44</v>
      </c>
      <c r="D40">
        <v>69</v>
      </c>
    </row>
    <row r="53" spans="1:4" x14ac:dyDescent="0.3">
      <c r="A53" s="4" t="s">
        <v>45</v>
      </c>
      <c r="B53" s="4" t="s">
        <v>44</v>
      </c>
    </row>
    <row r="54" spans="1:4" x14ac:dyDescent="0.3">
      <c r="A54" s="4" t="s">
        <v>41</v>
      </c>
      <c r="B54" t="s">
        <v>18</v>
      </c>
      <c r="C54" t="s">
        <v>15</v>
      </c>
      <c r="D54" t="s">
        <v>42</v>
      </c>
    </row>
    <row r="55" spans="1:4" x14ac:dyDescent="0.3">
      <c r="A55" s="5">
        <v>30</v>
      </c>
      <c r="C55">
        <v>1</v>
      </c>
      <c r="D55">
        <v>1</v>
      </c>
    </row>
    <row r="56" spans="1:4" x14ac:dyDescent="0.3">
      <c r="A56" s="5">
        <v>33</v>
      </c>
      <c r="B56">
        <v>1</v>
      </c>
      <c r="C56">
        <v>2</v>
      </c>
      <c r="D56">
        <v>3</v>
      </c>
    </row>
    <row r="57" spans="1:4" x14ac:dyDescent="0.3">
      <c r="A57" s="5">
        <v>34</v>
      </c>
      <c r="B57">
        <v>1</v>
      </c>
      <c r="C57">
        <v>1</v>
      </c>
      <c r="D57">
        <v>2</v>
      </c>
    </row>
    <row r="58" spans="1:4" x14ac:dyDescent="0.3">
      <c r="A58" s="5">
        <v>35</v>
      </c>
      <c r="B58">
        <v>1</v>
      </c>
      <c r="C58">
        <v>4</v>
      </c>
      <c r="D58">
        <v>5</v>
      </c>
    </row>
    <row r="59" spans="1:4" x14ac:dyDescent="0.3">
      <c r="A59" s="5">
        <v>36</v>
      </c>
      <c r="B59">
        <v>1</v>
      </c>
      <c r="C59">
        <v>8</v>
      </c>
      <c r="D59">
        <v>9</v>
      </c>
    </row>
    <row r="60" spans="1:4" x14ac:dyDescent="0.3">
      <c r="A60" s="5">
        <v>37</v>
      </c>
      <c r="C60">
        <v>5</v>
      </c>
      <c r="D60">
        <v>5</v>
      </c>
    </row>
    <row r="61" spans="1:4" x14ac:dyDescent="0.3">
      <c r="A61" s="5">
        <v>38</v>
      </c>
      <c r="C61">
        <v>4</v>
      </c>
      <c r="D61">
        <v>4</v>
      </c>
    </row>
    <row r="62" spans="1:4" x14ac:dyDescent="0.3">
      <c r="A62" s="5">
        <v>39</v>
      </c>
      <c r="B62">
        <v>1</v>
      </c>
      <c r="C62">
        <v>1</v>
      </c>
      <c r="D62">
        <v>2</v>
      </c>
    </row>
    <row r="63" spans="1:4" x14ac:dyDescent="0.3">
      <c r="A63" s="5">
        <v>40</v>
      </c>
      <c r="B63">
        <v>3</v>
      </c>
      <c r="C63">
        <v>1</v>
      </c>
      <c r="D63">
        <v>4</v>
      </c>
    </row>
    <row r="64" spans="1:4" x14ac:dyDescent="0.3">
      <c r="A64" s="5">
        <v>43</v>
      </c>
      <c r="C64">
        <v>1</v>
      </c>
      <c r="D64">
        <v>1</v>
      </c>
    </row>
    <row r="65" spans="1:4" x14ac:dyDescent="0.3">
      <c r="A65" s="5">
        <v>44</v>
      </c>
      <c r="B65">
        <v>1</v>
      </c>
      <c r="C65">
        <v>1</v>
      </c>
      <c r="D65">
        <v>2</v>
      </c>
    </row>
    <row r="66" spans="1:4" x14ac:dyDescent="0.3">
      <c r="A66" s="5">
        <v>46</v>
      </c>
      <c r="C66">
        <v>2</v>
      </c>
      <c r="D66">
        <v>2</v>
      </c>
    </row>
    <row r="67" spans="1:4" x14ac:dyDescent="0.3">
      <c r="A67" s="5">
        <v>47</v>
      </c>
      <c r="B67">
        <v>5</v>
      </c>
      <c r="C67">
        <v>4</v>
      </c>
      <c r="D67">
        <v>9</v>
      </c>
    </row>
    <row r="68" spans="1:4" x14ac:dyDescent="0.3">
      <c r="A68" s="5">
        <v>48</v>
      </c>
      <c r="B68">
        <v>2</v>
      </c>
      <c r="C68">
        <v>1</v>
      </c>
      <c r="D68">
        <v>3</v>
      </c>
    </row>
    <row r="69" spans="1:4" x14ac:dyDescent="0.3">
      <c r="A69" s="5">
        <v>50</v>
      </c>
      <c r="B69">
        <v>1</v>
      </c>
      <c r="D69">
        <v>1</v>
      </c>
    </row>
    <row r="70" spans="1:4" x14ac:dyDescent="0.3">
      <c r="A70" s="5">
        <v>52</v>
      </c>
      <c r="B70">
        <v>1</v>
      </c>
      <c r="C70">
        <v>1</v>
      </c>
      <c r="D70">
        <v>2</v>
      </c>
    </row>
    <row r="71" spans="1:4" x14ac:dyDescent="0.3">
      <c r="A71" s="5">
        <v>53</v>
      </c>
      <c r="B71">
        <v>1</v>
      </c>
      <c r="C71">
        <v>3</v>
      </c>
      <c r="D71">
        <v>4</v>
      </c>
    </row>
    <row r="72" spans="1:4" x14ac:dyDescent="0.3">
      <c r="A72" s="5">
        <v>61</v>
      </c>
      <c r="C72">
        <v>1</v>
      </c>
      <c r="D72">
        <v>1</v>
      </c>
    </row>
    <row r="73" spans="1:4" x14ac:dyDescent="0.3">
      <c r="A73" s="5">
        <v>65</v>
      </c>
      <c r="B73">
        <v>1</v>
      </c>
      <c r="D73">
        <v>1</v>
      </c>
    </row>
    <row r="74" spans="1:4" x14ac:dyDescent="0.3">
      <c r="A74" s="5">
        <v>66</v>
      </c>
      <c r="B74">
        <v>2</v>
      </c>
      <c r="D74">
        <v>2</v>
      </c>
    </row>
    <row r="75" spans="1:4" x14ac:dyDescent="0.3">
      <c r="A75" s="5">
        <v>67</v>
      </c>
      <c r="B75">
        <v>1</v>
      </c>
      <c r="C75">
        <v>1</v>
      </c>
      <c r="D75">
        <v>2</v>
      </c>
    </row>
    <row r="76" spans="1:4" x14ac:dyDescent="0.3">
      <c r="A76" s="5">
        <v>69</v>
      </c>
      <c r="B76">
        <v>1</v>
      </c>
      <c r="D76">
        <v>1</v>
      </c>
    </row>
    <row r="77" spans="1:4" x14ac:dyDescent="0.3">
      <c r="A77" s="5">
        <v>73</v>
      </c>
      <c r="B77">
        <v>1</v>
      </c>
      <c r="C77">
        <v>1</v>
      </c>
      <c r="D77">
        <v>2</v>
      </c>
    </row>
    <row r="78" spans="1:4" x14ac:dyDescent="0.3">
      <c r="A78" s="5">
        <v>74</v>
      </c>
      <c r="C78">
        <v>1</v>
      </c>
      <c r="D78">
        <v>1</v>
      </c>
    </row>
    <row r="79" spans="1:4" x14ac:dyDescent="0.3">
      <c r="A79" s="5" t="s">
        <v>42</v>
      </c>
      <c r="B79">
        <v>25</v>
      </c>
      <c r="C79">
        <v>44</v>
      </c>
      <c r="D79">
        <v>69</v>
      </c>
    </row>
  </sheetData>
  <sheetProtection sheet="1" objects="1" scenarios="1"/>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1275-D233-4F2D-B877-67F8A3639D40}">
  <dimension ref="A1:U8"/>
  <sheetViews>
    <sheetView showGridLines="0" tabSelected="1" topLeftCell="A5" zoomScale="69" zoomScaleNormal="69" workbookViewId="0">
      <selection activeCell="AA10" sqref="AA10"/>
    </sheetView>
  </sheetViews>
  <sheetFormatPr defaultRowHeight="14.4" x14ac:dyDescent="0.3"/>
  <cols>
    <col min="9" max="11" width="8.88671875" customWidth="1"/>
  </cols>
  <sheetData>
    <row r="1" spans="1:21" ht="14.4" customHeight="1" x14ac:dyDescent="0.3">
      <c r="A1" s="8" t="s">
        <v>50</v>
      </c>
      <c r="B1" s="9"/>
      <c r="C1" s="9"/>
      <c r="D1" s="9"/>
      <c r="E1" s="9"/>
      <c r="F1" s="9"/>
      <c r="G1" s="9"/>
      <c r="H1" s="9"/>
      <c r="I1" s="9"/>
      <c r="J1" s="9"/>
      <c r="K1" s="9"/>
      <c r="L1" s="9"/>
      <c r="M1" s="9"/>
      <c r="N1" s="9"/>
      <c r="O1" s="9"/>
      <c r="P1" s="9"/>
      <c r="Q1" s="9"/>
      <c r="R1" s="9"/>
      <c r="S1" s="9"/>
      <c r="T1" s="9"/>
      <c r="U1" s="9"/>
    </row>
    <row r="2" spans="1:21" x14ac:dyDescent="0.3">
      <c r="A2" s="9"/>
      <c r="B2" s="9"/>
      <c r="C2" s="9"/>
      <c r="D2" s="9"/>
      <c r="E2" s="9"/>
      <c r="F2" s="9"/>
      <c r="G2" s="9"/>
      <c r="H2" s="9"/>
      <c r="I2" s="9"/>
      <c r="J2" s="9"/>
      <c r="K2" s="9"/>
      <c r="L2" s="9"/>
      <c r="M2" s="9"/>
      <c r="N2" s="9"/>
      <c r="O2" s="9"/>
      <c r="P2" s="9"/>
      <c r="Q2" s="9"/>
      <c r="R2" s="9"/>
      <c r="S2" s="9"/>
      <c r="T2" s="9"/>
      <c r="U2" s="9"/>
    </row>
    <row r="3" spans="1:21" x14ac:dyDescent="0.3">
      <c r="A3" s="9"/>
      <c r="B3" s="9"/>
      <c r="C3" s="9"/>
      <c r="D3" s="9"/>
      <c r="E3" s="9"/>
      <c r="F3" s="9"/>
      <c r="G3" s="9"/>
      <c r="H3" s="9"/>
      <c r="I3" s="9"/>
      <c r="J3" s="9"/>
      <c r="K3" s="9"/>
      <c r="L3" s="9"/>
      <c r="M3" s="9"/>
      <c r="N3" s="9"/>
      <c r="O3" s="9"/>
      <c r="P3" s="9"/>
      <c r="Q3" s="9"/>
      <c r="R3" s="9"/>
      <c r="S3" s="9"/>
      <c r="T3" s="9"/>
      <c r="U3" s="9"/>
    </row>
    <row r="4" spans="1:21" x14ac:dyDescent="0.3">
      <c r="A4" s="9"/>
      <c r="B4" s="9"/>
      <c r="C4" s="9"/>
      <c r="D4" s="9"/>
      <c r="E4" s="9"/>
      <c r="F4" s="9"/>
      <c r="G4" s="9"/>
      <c r="H4" s="9"/>
      <c r="I4" s="9"/>
      <c r="J4" s="9"/>
      <c r="K4" s="9"/>
      <c r="L4" s="9"/>
      <c r="M4" s="9"/>
      <c r="N4" s="9"/>
      <c r="O4" s="9"/>
      <c r="P4" s="9"/>
      <c r="Q4" s="9"/>
      <c r="R4" s="9"/>
      <c r="S4" s="9"/>
      <c r="T4" s="9"/>
      <c r="U4" s="9"/>
    </row>
    <row r="5" spans="1:21" x14ac:dyDescent="0.3">
      <c r="A5" s="9"/>
      <c r="B5" s="9"/>
      <c r="C5" s="9"/>
      <c r="D5" s="9"/>
      <c r="E5" s="9"/>
      <c r="F5" s="9"/>
      <c r="G5" s="9"/>
      <c r="H5" s="9"/>
      <c r="I5" s="9"/>
      <c r="J5" s="9"/>
      <c r="K5" s="9"/>
      <c r="L5" s="9"/>
      <c r="M5" s="9"/>
      <c r="N5" s="9"/>
      <c r="O5" s="9"/>
      <c r="P5" s="9"/>
      <c r="Q5" s="9"/>
      <c r="R5" s="9"/>
      <c r="S5" s="9"/>
      <c r="T5" s="9"/>
      <c r="U5" s="9"/>
    </row>
    <row r="8" spans="1:21" x14ac:dyDescent="0.3">
      <c r="S8" s="7"/>
    </row>
  </sheetData>
  <sheetProtection sheet="1" objects="1" scenarios="1"/>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MYTHILI REDDY</dc:creator>
  <cp:lastModifiedBy>Mallu Mythili</cp:lastModifiedBy>
  <dcterms:created xsi:type="dcterms:W3CDTF">2022-03-18T02:50:57Z</dcterms:created>
  <dcterms:modified xsi:type="dcterms:W3CDTF">2025-12-27T13:46:33Z</dcterms:modified>
</cp:coreProperties>
</file>